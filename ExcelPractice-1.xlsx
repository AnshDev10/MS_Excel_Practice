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de.RANJANA\Documents\Practice\"/>
    </mc:Choice>
  </mc:AlternateContent>
  <xr:revisionPtr revIDLastSave="0" documentId="8_{A1119676-7614-4B6E-B212-7B88252E0957}" xr6:coauthVersionLast="47" xr6:coauthVersionMax="47" xr10:uidLastSave="{00000000-0000-0000-0000-000000000000}"/>
  <bookViews>
    <workbookView xWindow="-110" yWindow="-110" windowWidth="19420" windowHeight="10300" xr2:uid="{C0D681BA-A2FB-4132-AFF5-9690B2457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J35" i="1"/>
  <c r="J36" i="1"/>
  <c r="J33" i="1"/>
  <c r="I34" i="1"/>
  <c r="I35" i="1"/>
  <c r="I36" i="1"/>
  <c r="I33" i="1"/>
  <c r="H34" i="1"/>
  <c r="H35" i="1"/>
  <c r="H33" i="1"/>
  <c r="G34" i="1"/>
  <c r="G35" i="1"/>
  <c r="G33" i="1"/>
  <c r="F34" i="1"/>
  <c r="F35" i="1"/>
  <c r="F33" i="1"/>
  <c r="D33" i="1"/>
  <c r="D34" i="1"/>
  <c r="D35" i="1"/>
  <c r="L23" i="1"/>
  <c r="L22" i="1"/>
  <c r="L21" i="1"/>
  <c r="L20" i="1"/>
  <c r="L19" i="1"/>
  <c r="L18" i="1"/>
  <c r="L5" i="1"/>
  <c r="L4" i="1"/>
  <c r="L6" i="1"/>
  <c r="L3" i="1"/>
</calcChain>
</file>

<file path=xl/sharedStrings.xml><?xml version="1.0" encoding="utf-8"?>
<sst xmlns="http://schemas.openxmlformats.org/spreadsheetml/2006/main" count="29" uniqueCount="24">
  <si>
    <t>SUM</t>
  </si>
  <si>
    <t>AVERAGE</t>
  </si>
  <si>
    <t>MAX</t>
  </si>
  <si>
    <t>MIN</t>
  </si>
  <si>
    <t>NA</t>
  </si>
  <si>
    <t>Count of Int values</t>
  </si>
  <si>
    <t>Count of all values</t>
  </si>
  <si>
    <t>Count of Invalid Posititve(Value Greater than 100)</t>
  </si>
  <si>
    <t>Count of Invalid Neagtive(Values less than 0)</t>
  </si>
  <si>
    <t>Eligible for voting(Value &gt;= 18)</t>
  </si>
  <si>
    <t>Total Invalid Ages(Sum of both Invalid +ve and -ve)</t>
  </si>
  <si>
    <t>First Name</t>
  </si>
  <si>
    <t>Last Name</t>
  </si>
  <si>
    <t>Full Name</t>
  </si>
  <si>
    <t xml:space="preserve"> harshvardhan</t>
  </si>
  <si>
    <t xml:space="preserve"> singh</t>
  </si>
  <si>
    <t xml:space="preserve">  vinit</t>
  </si>
  <si>
    <t xml:space="preserve"> Shukla</t>
  </si>
  <si>
    <t>Akshay</t>
  </si>
  <si>
    <t xml:space="preserve">  Dixit</t>
  </si>
  <si>
    <t>Age</t>
  </si>
  <si>
    <t>Eligibility</t>
  </si>
  <si>
    <t>isblank</t>
  </si>
  <si>
    <t>is it a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</si>
</sst>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F518-BADF-44A0-B473-816CE8D70619}">
  <dimension ref="B3:L36"/>
  <sheetViews>
    <sheetView tabSelected="1" zoomScale="40" zoomScaleNormal="40" workbookViewId="0">
      <selection activeCell="J26" sqref="J26"/>
    </sheetView>
  </sheetViews>
  <sheetFormatPr defaultRowHeight="14.5" x14ac:dyDescent="0.35"/>
  <cols>
    <col min="2" max="2" width="13" bestFit="1" customWidth="1"/>
    <col min="3" max="3" width="9.453125" bestFit="1" customWidth="1"/>
    <col min="4" max="4" width="17.7265625" bestFit="1" customWidth="1"/>
    <col min="10" max="10" width="43.54296875" bestFit="1" customWidth="1"/>
  </cols>
  <sheetData>
    <row r="3" spans="2:12" x14ac:dyDescent="0.35">
      <c r="B3" s="3">
        <v>21</v>
      </c>
      <c r="C3" s="5">
        <v>23</v>
      </c>
      <c r="D3" s="5">
        <v>25</v>
      </c>
      <c r="E3" s="5">
        <v>27</v>
      </c>
      <c r="F3" s="4">
        <v>29</v>
      </c>
      <c r="G3" s="3">
        <v>31</v>
      </c>
      <c r="H3" s="5">
        <v>33</v>
      </c>
      <c r="K3" s="2" t="s">
        <v>0</v>
      </c>
      <c r="L3">
        <f>SUM(H3,F8:H8,F11:F13,B14:D14,B7:B9,C3:E3)</f>
        <v>1548</v>
      </c>
    </row>
    <row r="4" spans="2:12" x14ac:dyDescent="0.35">
      <c r="B4" s="3">
        <v>43</v>
      </c>
      <c r="C4" s="4">
        <v>45</v>
      </c>
      <c r="D4" s="4">
        <v>56</v>
      </c>
      <c r="E4" s="4">
        <v>67</v>
      </c>
      <c r="F4" s="4">
        <v>23</v>
      </c>
      <c r="G4" s="4">
        <v>45</v>
      </c>
      <c r="H4" s="4">
        <v>52</v>
      </c>
      <c r="K4" t="s">
        <v>3</v>
      </c>
      <c r="L4">
        <f>MIN(B3:H14)</f>
        <v>-37</v>
      </c>
    </row>
    <row r="5" spans="2:12" x14ac:dyDescent="0.35">
      <c r="B5" s="3">
        <v>65</v>
      </c>
      <c r="C5" s="4">
        <v>67</v>
      </c>
      <c r="D5" s="3">
        <v>87</v>
      </c>
      <c r="E5" s="4">
        <v>107</v>
      </c>
      <c r="F5" s="4">
        <v>17</v>
      </c>
      <c r="G5" s="4">
        <v>59</v>
      </c>
      <c r="H5" s="4">
        <v>71</v>
      </c>
      <c r="K5" t="s">
        <v>2</v>
      </c>
      <c r="L5">
        <f>MAX(B3:H14)</f>
        <v>467</v>
      </c>
    </row>
    <row r="6" spans="2:12" x14ac:dyDescent="0.35">
      <c r="B6" s="4">
        <v>87</v>
      </c>
      <c r="C6" s="4">
        <v>89</v>
      </c>
      <c r="D6" s="3">
        <v>118</v>
      </c>
      <c r="E6" s="4">
        <v>147</v>
      </c>
      <c r="F6" s="4">
        <v>11</v>
      </c>
      <c r="G6" s="4">
        <v>73</v>
      </c>
      <c r="H6" s="4">
        <v>90</v>
      </c>
      <c r="K6" s="1" t="s">
        <v>1</v>
      </c>
      <c r="L6">
        <f>AVERAGE(G3,G9:H9,G12:H13,D5:D11,B3:B5)</f>
        <v>143.35294117647058</v>
      </c>
    </row>
    <row r="7" spans="2:12" x14ac:dyDescent="0.35">
      <c r="B7" s="5">
        <v>109</v>
      </c>
      <c r="C7" s="4">
        <v>111</v>
      </c>
      <c r="D7" s="3">
        <v>149</v>
      </c>
      <c r="E7" s="4">
        <v>187</v>
      </c>
      <c r="F7" s="4">
        <v>5</v>
      </c>
      <c r="G7" s="4">
        <v>87</v>
      </c>
      <c r="H7" s="4">
        <v>109</v>
      </c>
    </row>
    <row r="8" spans="2:12" x14ac:dyDescent="0.35">
      <c r="B8" s="5">
        <v>131</v>
      </c>
      <c r="C8" s="4">
        <v>133</v>
      </c>
      <c r="D8" s="3">
        <v>180</v>
      </c>
      <c r="E8" s="4">
        <v>227</v>
      </c>
      <c r="F8" s="5">
        <v>-1</v>
      </c>
      <c r="G8" s="5">
        <v>101</v>
      </c>
      <c r="H8" s="5">
        <v>128</v>
      </c>
    </row>
    <row r="9" spans="2:12" x14ac:dyDescent="0.35">
      <c r="B9" s="5">
        <v>153</v>
      </c>
      <c r="C9" s="4">
        <v>155</v>
      </c>
      <c r="D9" s="3">
        <v>211</v>
      </c>
      <c r="E9" s="4">
        <v>267</v>
      </c>
      <c r="F9" s="4">
        <v>-7</v>
      </c>
      <c r="G9" s="3">
        <v>115</v>
      </c>
      <c r="H9" s="3">
        <v>147</v>
      </c>
    </row>
    <row r="10" spans="2:12" x14ac:dyDescent="0.35">
      <c r="B10" s="4">
        <v>175</v>
      </c>
      <c r="C10" s="4">
        <v>177</v>
      </c>
      <c r="D10" s="3">
        <v>242</v>
      </c>
      <c r="E10" s="4">
        <v>307</v>
      </c>
      <c r="F10" s="4">
        <v>-13</v>
      </c>
      <c r="G10" s="4">
        <v>129</v>
      </c>
      <c r="H10" s="4">
        <v>166</v>
      </c>
    </row>
    <row r="11" spans="2:12" x14ac:dyDescent="0.35">
      <c r="B11" s="4">
        <v>197</v>
      </c>
      <c r="C11" s="4">
        <v>199</v>
      </c>
      <c r="D11" s="3">
        <v>273</v>
      </c>
      <c r="E11" s="4">
        <v>347</v>
      </c>
      <c r="F11" s="5">
        <v>-19</v>
      </c>
      <c r="G11" s="4">
        <v>143</v>
      </c>
      <c r="H11" s="4">
        <v>185</v>
      </c>
    </row>
    <row r="12" spans="2:12" x14ac:dyDescent="0.35">
      <c r="B12" s="4">
        <v>219</v>
      </c>
      <c r="C12" s="4">
        <v>221</v>
      </c>
      <c r="D12" s="4">
        <v>304</v>
      </c>
      <c r="E12" s="4">
        <v>387</v>
      </c>
      <c r="F12" s="5">
        <v>-25</v>
      </c>
      <c r="G12" s="3">
        <v>157</v>
      </c>
      <c r="H12" s="3">
        <v>204</v>
      </c>
    </row>
    <row r="13" spans="2:12" x14ac:dyDescent="0.35">
      <c r="B13" s="4">
        <v>241</v>
      </c>
      <c r="C13" s="4">
        <v>243</v>
      </c>
      <c r="D13" s="4">
        <v>335</v>
      </c>
      <c r="E13" s="4">
        <v>427</v>
      </c>
      <c r="F13" s="5">
        <v>-31</v>
      </c>
      <c r="G13" s="3">
        <v>171</v>
      </c>
      <c r="H13" s="3">
        <v>223</v>
      </c>
    </row>
    <row r="14" spans="2:12" x14ac:dyDescent="0.35">
      <c r="B14" s="5">
        <v>263</v>
      </c>
      <c r="C14" s="5">
        <v>265</v>
      </c>
      <c r="D14" s="5">
        <v>366</v>
      </c>
      <c r="E14" s="4">
        <v>467</v>
      </c>
      <c r="F14" s="4">
        <v>-37</v>
      </c>
      <c r="G14" s="4">
        <v>185</v>
      </c>
      <c r="H14" s="4">
        <v>242</v>
      </c>
    </row>
    <row r="18" spans="2:12" x14ac:dyDescent="0.35">
      <c r="B18" s="6">
        <v>21</v>
      </c>
      <c r="C18" s="6">
        <v>23</v>
      </c>
      <c r="D18" s="6">
        <v>25</v>
      </c>
      <c r="E18" s="6">
        <v>27</v>
      </c>
      <c r="F18" s="6">
        <v>29</v>
      </c>
      <c r="G18" s="6">
        <v>31</v>
      </c>
      <c r="H18" s="6">
        <v>33</v>
      </c>
      <c r="J18" t="s">
        <v>5</v>
      </c>
      <c r="L18">
        <f>COUNT(B18:H29)</f>
        <v>79</v>
      </c>
    </row>
    <row r="19" spans="2:12" x14ac:dyDescent="0.35">
      <c r="B19" s="6">
        <v>43</v>
      </c>
      <c r="C19" s="6">
        <v>45</v>
      </c>
      <c r="D19" s="6">
        <v>56</v>
      </c>
      <c r="E19" s="6">
        <v>67</v>
      </c>
      <c r="F19" s="6">
        <v>23</v>
      </c>
      <c r="G19" s="6">
        <v>45</v>
      </c>
      <c r="H19" s="6">
        <v>52</v>
      </c>
      <c r="J19" t="s">
        <v>6</v>
      </c>
      <c r="L19">
        <f>COUNTA(B18:H29)</f>
        <v>84</v>
      </c>
    </row>
    <row r="20" spans="2:12" x14ac:dyDescent="0.35">
      <c r="B20" s="6">
        <v>65</v>
      </c>
      <c r="C20" s="6">
        <v>67</v>
      </c>
      <c r="D20" s="6">
        <v>87</v>
      </c>
      <c r="E20" s="6">
        <v>107</v>
      </c>
      <c r="F20" s="6">
        <v>17</v>
      </c>
      <c r="G20" s="6">
        <v>59</v>
      </c>
      <c r="H20" s="6">
        <v>71</v>
      </c>
      <c r="J20" t="s">
        <v>7</v>
      </c>
      <c r="L20">
        <f>COUNTIF(B18:H29,"&gt;100")</f>
        <v>47</v>
      </c>
    </row>
    <row r="21" spans="2:12" x14ac:dyDescent="0.35">
      <c r="B21" s="6" t="s">
        <v>4</v>
      </c>
      <c r="C21" s="6">
        <v>89</v>
      </c>
      <c r="D21" s="6">
        <v>118</v>
      </c>
      <c r="E21" s="6">
        <v>147</v>
      </c>
      <c r="F21" s="6" t="s">
        <v>4</v>
      </c>
      <c r="G21" s="6">
        <v>73</v>
      </c>
      <c r="H21" s="6">
        <v>90</v>
      </c>
      <c r="J21" t="s">
        <v>8</v>
      </c>
      <c r="L21">
        <f>COUNTIF(B18:H29,"&lt;0")</f>
        <v>7</v>
      </c>
    </row>
    <row r="22" spans="2:12" x14ac:dyDescent="0.35">
      <c r="B22" s="6">
        <v>109</v>
      </c>
      <c r="C22" s="6">
        <v>111</v>
      </c>
      <c r="D22" s="6">
        <v>149</v>
      </c>
      <c r="E22" s="6">
        <v>187</v>
      </c>
      <c r="F22" s="6">
        <v>5</v>
      </c>
      <c r="G22" s="6">
        <v>87</v>
      </c>
      <c r="H22" s="6">
        <v>109</v>
      </c>
      <c r="J22" t="s">
        <v>9</v>
      </c>
      <c r="L22">
        <f>COUNTIF(B18:H29,"&gt;=18")</f>
        <v>70</v>
      </c>
    </row>
    <row r="23" spans="2:12" x14ac:dyDescent="0.35">
      <c r="B23" s="6">
        <v>131</v>
      </c>
      <c r="C23" s="6">
        <v>133</v>
      </c>
      <c r="D23" s="6">
        <v>180</v>
      </c>
      <c r="E23" s="6">
        <v>227</v>
      </c>
      <c r="F23" s="6">
        <v>-1</v>
      </c>
      <c r="G23" s="6">
        <v>101</v>
      </c>
      <c r="H23" s="6">
        <v>128</v>
      </c>
      <c r="J23" t="s">
        <v>10</v>
      </c>
      <c r="L23">
        <f>SUM(COUNTIF(B18:H29,"&gt;100"),COUNTIF(B18:H29,"&lt;0"))</f>
        <v>54</v>
      </c>
    </row>
    <row r="24" spans="2:12" x14ac:dyDescent="0.35">
      <c r="B24" s="6">
        <v>153</v>
      </c>
      <c r="C24" s="6">
        <v>155</v>
      </c>
      <c r="D24" s="6" t="s">
        <v>4</v>
      </c>
      <c r="E24" s="6">
        <v>267</v>
      </c>
      <c r="F24" s="6">
        <v>-7</v>
      </c>
      <c r="G24" s="6" t="s">
        <v>4</v>
      </c>
      <c r="H24" s="6">
        <v>147</v>
      </c>
    </row>
    <row r="25" spans="2:12" x14ac:dyDescent="0.35">
      <c r="B25" s="6">
        <v>175</v>
      </c>
      <c r="C25" s="6">
        <v>177</v>
      </c>
      <c r="D25" s="6">
        <v>242</v>
      </c>
      <c r="E25" s="6">
        <v>307</v>
      </c>
      <c r="F25" s="6">
        <v>-13</v>
      </c>
      <c r="G25" s="6">
        <v>129</v>
      </c>
      <c r="H25" s="6">
        <v>166</v>
      </c>
    </row>
    <row r="26" spans="2:12" x14ac:dyDescent="0.35">
      <c r="B26" s="6">
        <v>197</v>
      </c>
      <c r="C26" s="6">
        <v>199</v>
      </c>
      <c r="D26" s="6">
        <v>273</v>
      </c>
      <c r="E26" s="6">
        <v>347</v>
      </c>
      <c r="F26" s="6">
        <v>-19</v>
      </c>
      <c r="G26" s="6">
        <v>143</v>
      </c>
      <c r="H26" s="6">
        <v>185</v>
      </c>
    </row>
    <row r="27" spans="2:12" x14ac:dyDescent="0.35">
      <c r="B27" s="6">
        <v>219</v>
      </c>
      <c r="C27" s="6">
        <v>221</v>
      </c>
      <c r="D27" s="6">
        <v>304</v>
      </c>
      <c r="E27" s="6" t="s">
        <v>4</v>
      </c>
      <c r="F27" s="6">
        <v>-25</v>
      </c>
      <c r="G27" s="6">
        <v>157</v>
      </c>
      <c r="H27" s="6">
        <v>204</v>
      </c>
    </row>
    <row r="28" spans="2:12" x14ac:dyDescent="0.35">
      <c r="B28" s="6">
        <v>241</v>
      </c>
      <c r="C28" s="6">
        <v>243</v>
      </c>
      <c r="D28" s="6">
        <v>335</v>
      </c>
      <c r="E28" s="6">
        <v>427</v>
      </c>
      <c r="F28" s="6">
        <v>-31</v>
      </c>
      <c r="G28" s="6">
        <v>171</v>
      </c>
      <c r="H28" s="6">
        <v>223</v>
      </c>
    </row>
    <row r="29" spans="2:12" x14ac:dyDescent="0.35">
      <c r="B29" s="6">
        <v>263</v>
      </c>
      <c r="C29" s="6">
        <v>265</v>
      </c>
      <c r="D29" s="6">
        <v>366</v>
      </c>
      <c r="E29" s="6">
        <v>467</v>
      </c>
      <c r="F29" s="6">
        <v>-37</v>
      </c>
      <c r="G29" s="6">
        <v>185</v>
      </c>
      <c r="H29" s="6">
        <v>242</v>
      </c>
    </row>
    <row r="32" spans="2:12" x14ac:dyDescent="0.35">
      <c r="B32" s="7" t="s">
        <v>11</v>
      </c>
      <c r="C32" s="7" t="s">
        <v>12</v>
      </c>
      <c r="D32" s="7" t="s">
        <v>13</v>
      </c>
      <c r="E32" s="7" t="s">
        <v>20</v>
      </c>
      <c r="F32" s="7" t="s">
        <v>21</v>
      </c>
      <c r="G32" s="7" t="s">
        <v>22</v>
      </c>
      <c r="H32" s="7" t="s">
        <v>22</v>
      </c>
      <c r="I32" s="7"/>
      <c r="J32" s="7" t="s">
        <v>23</v>
      </c>
    </row>
    <row r="33" spans="2:10" x14ac:dyDescent="0.35">
      <c r="B33" t="s">
        <v>14</v>
      </c>
      <c r="C33" t="s">
        <v>15</v>
      </c>
      <c r="D33" t="str">
        <f>TRIM(PROPER(_xlfn.CONCAT(B33,C33)))</f>
        <v>Harshvardhan Singh</v>
      </c>
      <c r="E33" s="4">
        <v>23</v>
      </c>
      <c r="F33" t="str">
        <f>IF(E33&gt;=18,"Eligible","-1")</f>
        <v>Eligible</v>
      </c>
      <c r="G33" t="b">
        <f>ISBLANK(E33)</f>
        <v>0</v>
      </c>
      <c r="H33" t="str">
        <f>IF(ISBLANK(E33),"no num","num")</f>
        <v>num</v>
      </c>
      <c r="I33">
        <f>IF(ISBLANK(E33),-1,E33)</f>
        <v>23</v>
      </c>
      <c r="J33">
        <f>IF(ISNUMBER(E33),E33,-1)</f>
        <v>23</v>
      </c>
    </row>
    <row r="34" spans="2:10" x14ac:dyDescent="0.35">
      <c r="B34" t="s">
        <v>16</v>
      </c>
      <c r="C34" t="s">
        <v>17</v>
      </c>
      <c r="D34" t="str">
        <f>TRIM(PROPER(_xlfn.CONCAT(B34,C34)))</f>
        <v>Vinit Shukla</v>
      </c>
      <c r="E34" s="4">
        <v>45</v>
      </c>
      <c r="F34" t="str">
        <f t="shared" ref="F34:F35" si="0">IF(E34&gt;=18,"Eligible","-1")</f>
        <v>Eligible</v>
      </c>
      <c r="G34" t="b">
        <f t="shared" ref="G34:G35" si="1">ISBLANK(E34)</f>
        <v>0</v>
      </c>
      <c r="H34" t="str">
        <f t="shared" ref="H34:H35" si="2">IF(ISBLANK(E34),"no num","num")</f>
        <v>num</v>
      </c>
      <c r="I34">
        <f t="shared" ref="I34:I36" si="3">IF(ISBLANK(E34),-1,E34)</f>
        <v>45</v>
      </c>
      <c r="J34">
        <f t="shared" ref="J34:J36" si="4">IF(ISNUMBER(E34),E34,-1)</f>
        <v>45</v>
      </c>
    </row>
    <row r="35" spans="2:10" x14ac:dyDescent="0.35">
      <c r="B35" t="s">
        <v>18</v>
      </c>
      <c r="C35" t="s">
        <v>19</v>
      </c>
      <c r="D35" t="str">
        <f>TRIM(PROPER(_xlfn.CONCAT(B35,C35)))</f>
        <v>Akshay Dixit</v>
      </c>
      <c r="E35" s="4"/>
      <c r="F35" t="str">
        <f t="shared" si="0"/>
        <v>-1</v>
      </c>
      <c r="G35" t="b">
        <f t="shared" si="1"/>
        <v>1</v>
      </c>
      <c r="H35" t="str">
        <f t="shared" si="2"/>
        <v>no num</v>
      </c>
      <c r="I35">
        <f t="shared" si="3"/>
        <v>-1</v>
      </c>
      <c r="J35">
        <f t="shared" si="4"/>
        <v>-1</v>
      </c>
    </row>
    <row r="36" spans="2:10" x14ac:dyDescent="0.35">
      <c r="E36" s="4">
        <v>23</v>
      </c>
      <c r="I36">
        <f t="shared" si="3"/>
        <v>23</v>
      </c>
      <c r="J36">
        <f t="shared" si="4"/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Dev Singh</dc:creator>
  <cp:lastModifiedBy>Ansh Dev Singh</cp:lastModifiedBy>
  <dcterms:created xsi:type="dcterms:W3CDTF">2025-12-20T11:48:30Z</dcterms:created>
  <dcterms:modified xsi:type="dcterms:W3CDTF">2025-12-20T14:00:55Z</dcterms:modified>
</cp:coreProperties>
</file>